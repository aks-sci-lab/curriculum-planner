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교육과정 편성\"/>
    </mc:Choice>
  </mc:AlternateContent>
  <xr:revisionPtr revIDLastSave="0" documentId="8_{B4617734-939F-4590-A717-8D5CDA7126D3}" xr6:coauthVersionLast="47" xr6:coauthVersionMax="47" xr10:uidLastSave="{00000000-0000-0000-0000-000000000000}"/>
  <bookViews>
    <workbookView xWindow="-120" yWindow="-120" windowWidth="29040" windowHeight="15720" xr2:uid="{246A35D9-6B04-4909-93A1-B41AEA305B16}"/>
  </bookViews>
  <sheets>
    <sheet name="2학년" sheetId="2" r:id="rId1"/>
    <sheet name="3학년" sheetId="3" r:id="rId2"/>
  </sheets>
  <definedNames>
    <definedName name="_xlnm.Print_Area" localSheetId="0">'2학년'!$B$1:$I$38</definedName>
    <definedName name="_xlnm.Print_Area" localSheetId="1">'3학년'!$B$1:$J$51</definedName>
    <definedName name="_xlnm.Print_Titles" localSheetId="1">'3학년'!$1:$3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2" l="1"/>
  <c r="D7" i="2"/>
  <c r="E7" i="2"/>
  <c r="F7" i="2"/>
  <c r="C9" i="2"/>
  <c r="D9" i="2"/>
  <c r="E9" i="2"/>
  <c r="F9" i="2"/>
  <c r="C12" i="2"/>
  <c r="D12" i="2"/>
  <c r="E12" i="2"/>
  <c r="F12" i="2"/>
  <c r="C14" i="2"/>
  <c r="D14" i="2"/>
  <c r="E14" i="2"/>
  <c r="F14" i="2"/>
  <c r="C18" i="2"/>
  <c r="D18" i="2"/>
  <c r="E18" i="2"/>
  <c r="C20" i="2"/>
  <c r="E20" i="2"/>
  <c r="C25" i="2"/>
  <c r="D25" i="2"/>
  <c r="E25" i="2"/>
  <c r="F25" i="2"/>
  <c r="D27" i="2"/>
  <c r="F27" i="2"/>
  <c r="C30" i="2"/>
  <c r="D30" i="2"/>
  <c r="E30" i="2"/>
  <c r="F30" i="2"/>
  <c r="G30" i="2"/>
  <c r="C32" i="2"/>
  <c r="D32" i="2"/>
  <c r="E32" i="2"/>
  <c r="F32" i="2"/>
  <c r="G32" i="2"/>
  <c r="C36" i="2"/>
  <c r="D36" i="2"/>
  <c r="E36" i="2"/>
  <c r="C38" i="2"/>
  <c r="E38" i="2"/>
  <c r="E45" i="2"/>
  <c r="C45" i="2"/>
  <c r="E43" i="2"/>
  <c r="D43" i="2"/>
  <c r="C43" i="2"/>
  <c r="F42" i="2"/>
  <c r="J24" i="2"/>
  <c r="F35" i="2"/>
  <c r="H24" i="2"/>
  <c r="H17" i="2"/>
  <c r="F17" i="2"/>
  <c r="G6" i="2"/>
  <c r="H3" i="2"/>
  <c r="H2" i="2"/>
  <c r="E2" i="2"/>
  <c r="D51" i="3"/>
  <c r="C51" i="3"/>
  <c r="D49" i="3"/>
  <c r="C49" i="3"/>
  <c r="E48" i="3"/>
  <c r="F45" i="3"/>
  <c r="D45" i="3"/>
  <c r="F43" i="3"/>
  <c r="D43" i="3"/>
  <c r="G40" i="3"/>
  <c r="F40" i="3"/>
  <c r="E40" i="3"/>
  <c r="D40" i="3"/>
  <c r="C40" i="3"/>
  <c r="G38" i="3"/>
  <c r="F38" i="3"/>
  <c r="E38" i="3"/>
  <c r="D38" i="3"/>
  <c r="C38" i="3"/>
  <c r="G35" i="3"/>
  <c r="E35" i="3"/>
  <c r="D35" i="3"/>
  <c r="C35" i="3"/>
  <c r="K32" i="3"/>
  <c r="I32" i="3"/>
  <c r="D26" i="3"/>
  <c r="C26" i="3"/>
  <c r="D24" i="3"/>
  <c r="C24" i="3"/>
  <c r="E23" i="3"/>
  <c r="G20" i="3"/>
  <c r="F20" i="3"/>
  <c r="E20" i="3"/>
  <c r="D20" i="3"/>
  <c r="C20" i="3"/>
  <c r="G15" i="3"/>
  <c r="F15" i="3"/>
  <c r="E15" i="3"/>
  <c r="D15" i="3"/>
  <c r="C15" i="3"/>
  <c r="H10" i="3"/>
  <c r="G10" i="3"/>
  <c r="F10" i="3"/>
  <c r="E10" i="3"/>
  <c r="D10" i="3"/>
  <c r="C10" i="3"/>
  <c r="J7" i="3"/>
  <c r="I7" i="3"/>
  <c r="H3" i="3"/>
  <c r="H2" i="3"/>
  <c r="E2" i="3"/>
  <c r="I6" i="2"/>
  <c r="E33" i="3" l="1"/>
  <c r="G13" i="3"/>
  <c r="G8" i="3"/>
  <c r="D33" i="3"/>
  <c r="G33" i="3"/>
  <c r="G18" i="3"/>
  <c r="F18" i="3"/>
  <c r="C33" i="3"/>
  <c r="C18" i="3"/>
  <c r="D8" i="3"/>
  <c r="E13" i="3"/>
  <c r="D18" i="3"/>
  <c r="E18" i="3"/>
  <c r="F13" i="3"/>
  <c r="D13" i="3"/>
  <c r="C13" i="3"/>
  <c r="E8" i="3"/>
  <c r="H8" i="3"/>
  <c r="F8" i="3"/>
  <c r="C8" i="3"/>
</calcChain>
</file>

<file path=xl/sharedStrings.xml><?xml version="1.0" encoding="utf-8"?>
<sst xmlns="http://schemas.openxmlformats.org/spreadsheetml/2006/main" count="168" uniqueCount="79">
  <si>
    <t>학급당 학생수</t>
    <phoneticPr fontId="6" type="noConversion"/>
  </si>
  <si>
    <t>개설 학급수</t>
    <phoneticPr fontId="6" type="noConversion"/>
  </si>
  <si>
    <t>인원 수</t>
    <phoneticPr fontId="6" type="noConversion"/>
  </si>
  <si>
    <t>총 학급수</t>
    <phoneticPr fontId="6" type="noConversion"/>
  </si>
  <si>
    <t>프로그래밍</t>
  </si>
  <si>
    <t>지식 재산 일반</t>
  </si>
  <si>
    <t>인공지능 기초</t>
  </si>
  <si>
    <t>과목</t>
    <phoneticPr fontId="6" type="noConversion"/>
  </si>
  <si>
    <t>여행지리</t>
  </si>
  <si>
    <t>3학년 2학기</t>
    <phoneticPr fontId="6" type="noConversion"/>
  </si>
  <si>
    <t>사회문제 탐구</t>
  </si>
  <si>
    <t>영미 문학 읽기</t>
  </si>
  <si>
    <t>3학년 1학기</t>
    <phoneticPr fontId="6" type="noConversion"/>
  </si>
  <si>
    <t>학급당 학생수의 110%(분반기준)</t>
    <phoneticPr fontId="6" type="noConversion"/>
  </si>
  <si>
    <t>학급당 학생수의 90%(개설기준)</t>
    <phoneticPr fontId="6" type="noConversion"/>
  </si>
  <si>
    <t>총학생수</t>
    <phoneticPr fontId="6" type="noConversion"/>
  </si>
  <si>
    <t>정보 처리와 관리</t>
  </si>
  <si>
    <t>중국어 회화</t>
  </si>
  <si>
    <t>일본어 회화</t>
  </si>
  <si>
    <t>생물의 유전</t>
  </si>
  <si>
    <t>화학 반응의 세계</t>
  </si>
  <si>
    <t>역학과 에너지</t>
  </si>
  <si>
    <t>법과 사회</t>
  </si>
  <si>
    <t>윤리와 사상</t>
  </si>
  <si>
    <t>국제 관계의 이해</t>
  </si>
  <si>
    <t>세계 문화와 영어</t>
  </si>
  <si>
    <t>확률과 통계</t>
  </si>
  <si>
    <t>언어생활 탐구</t>
  </si>
  <si>
    <t>중국어</t>
  </si>
  <si>
    <t>일본어</t>
  </si>
  <si>
    <t>생명과학</t>
  </si>
  <si>
    <t>화학</t>
  </si>
  <si>
    <t>지구과학</t>
  </si>
  <si>
    <t>물리학</t>
  </si>
  <si>
    <t>세계시민과 지리</t>
  </si>
  <si>
    <t>세계사</t>
  </si>
  <si>
    <t>사회와 문화</t>
  </si>
  <si>
    <t>현대사회와 윤리</t>
  </si>
  <si>
    <t>총학급수</t>
    <phoneticPr fontId="3" type="noConversion"/>
  </si>
  <si>
    <t>2학년 1학기</t>
    <phoneticPr fontId="3" type="noConversion"/>
  </si>
  <si>
    <t>2학년 2학기</t>
    <phoneticPr fontId="3" type="noConversion"/>
  </si>
  <si>
    <t>화법과 언어</t>
    <phoneticPr fontId="3" type="noConversion"/>
  </si>
  <si>
    <t>문학과 영상</t>
    <phoneticPr fontId="3" type="noConversion"/>
  </si>
  <si>
    <t>기하</t>
    <phoneticPr fontId="3" type="noConversion"/>
  </si>
  <si>
    <t>미적분2</t>
    <phoneticPr fontId="3" type="noConversion"/>
  </si>
  <si>
    <t>실용통계</t>
    <phoneticPr fontId="3" type="noConversion"/>
  </si>
  <si>
    <t>심화 영어 독해와 작문</t>
  </si>
  <si>
    <t>한국지리 탐구</t>
  </si>
  <si>
    <t>동아시아 역사 기행</t>
  </si>
  <si>
    <t>정치</t>
  </si>
  <si>
    <t>인문학과 윤리</t>
  </si>
  <si>
    <t>물질과 에너지</t>
  </si>
  <si>
    <t>전자기와 양자</t>
  </si>
  <si>
    <t>세포와 물질대사</t>
  </si>
  <si>
    <t>지구시스템과학</t>
  </si>
  <si>
    <t>융합과학 탐구</t>
    <phoneticPr fontId="3" type="noConversion"/>
  </si>
  <si>
    <t>과학의 역사와 문화</t>
    <phoneticPr fontId="3" type="noConversion"/>
  </si>
  <si>
    <t>기후변화와 환경생태</t>
    <phoneticPr fontId="3" type="noConversion"/>
  </si>
  <si>
    <t>주제 탐구 독서</t>
  </si>
  <si>
    <t>독서 토론과 글쓰기</t>
  </si>
  <si>
    <t>수학과제탐구</t>
  </si>
  <si>
    <t>수학과 문화</t>
  </si>
  <si>
    <t>심화 영어</t>
  </si>
  <si>
    <t>금융과 경제생활</t>
  </si>
  <si>
    <t>윤리문제 탐구</t>
  </si>
  <si>
    <t>역사로 탐구하는 현대 세계</t>
  </si>
  <si>
    <t>기후변화와 지속가능한 세계</t>
  </si>
  <si>
    <t>과학과제 연구</t>
  </si>
  <si>
    <t>총 학급수</t>
    <phoneticPr fontId="3" type="noConversion"/>
  </si>
  <si>
    <t>발명과 기업가 정신</t>
  </si>
  <si>
    <t>소프트웨어와 생활</t>
  </si>
  <si>
    <t>인원수/분반기준</t>
    <phoneticPr fontId="6" type="noConversion"/>
  </si>
  <si>
    <t>2026.9.</t>
    <phoneticPr fontId="3" type="noConversion"/>
  </si>
  <si>
    <t>3학년(현2학년) 수강신청결과(2차)</t>
    <phoneticPr fontId="6" type="noConversion"/>
  </si>
  <si>
    <t>학급당 학생수는 개설기준과 분반기준의 사이가 되도록 조정</t>
    <phoneticPr fontId="3" type="noConversion"/>
  </si>
  <si>
    <t>폐강</t>
    <phoneticPr fontId="3" type="noConversion"/>
  </si>
  <si>
    <t>2학년(현1학년) 수강신청결과(3차)</t>
    <phoneticPr fontId="6" type="noConversion"/>
  </si>
  <si>
    <t>일본어 7, 정보4</t>
    <phoneticPr fontId="3" type="noConversion"/>
  </si>
  <si>
    <t>일본어8, 정보3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</si>
</sst>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 "/>
    <numFmt numFmtId="177" formatCode="0_);[Red]\(0\)"/>
    <numFmt numFmtId="178" formatCode="0.0_ "/>
    <numFmt numFmtId="179" formatCode="0_ "/>
  </numFmts>
  <fonts count="16" x14ac:knownFonts="1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2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24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3">
    <border>
      <left/>
      <right/>
      <top/>
      <bottom/>
      <diagonal/>
    </border>
    <border>
      <left style="medium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auto="1"/>
      </bottom>
      <diagonal/>
    </border>
    <border>
      <left style="double">
        <color indexed="64"/>
      </left>
      <right/>
      <top style="double">
        <color indexed="64"/>
      </top>
      <bottom style="double">
        <color auto="1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uble">
        <color auto="1"/>
      </bottom>
      <diagonal/>
    </border>
    <border>
      <left style="thin">
        <color indexed="64"/>
      </left>
      <right/>
      <top style="double">
        <color indexed="64"/>
      </top>
      <bottom style="double">
        <color auto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auto="1"/>
      </top>
      <bottom style="thin">
        <color indexed="64"/>
      </bottom>
      <diagonal/>
    </border>
    <border diagonalUp="1">
      <left style="thin">
        <color indexed="64"/>
      </left>
      <right style="medium">
        <color indexed="64"/>
      </right>
      <top style="double">
        <color indexed="64"/>
      </top>
      <bottom style="double">
        <color auto="1"/>
      </bottom>
      <diagonal style="thin">
        <color indexed="64"/>
      </diagonal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auto="1"/>
      </top>
      <bottom/>
      <diagonal/>
    </border>
    <border>
      <left style="double">
        <color indexed="64"/>
      </left>
      <right/>
      <top/>
      <bottom/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16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8" fillId="0" borderId="0" xfId="0" applyFont="1">
      <alignment vertical="center"/>
    </xf>
    <xf numFmtId="0" fontId="9" fillId="0" borderId="0" xfId="1" applyFont="1" applyAlignment="1">
      <alignment horizontal="center" vertical="center"/>
    </xf>
    <xf numFmtId="176" fontId="9" fillId="0" borderId="0" xfId="1" applyNumberFormat="1" applyFont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0" fillId="0" borderId="0" xfId="0" applyNumberFormat="1">
      <alignment vertical="center"/>
    </xf>
    <xf numFmtId="0" fontId="8" fillId="0" borderId="0" xfId="0" applyFont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176" fontId="4" fillId="0" borderId="9" xfId="0" applyNumberFormat="1" applyFont="1" applyBorder="1" applyAlignment="1">
      <alignment horizontal="center" vertical="center"/>
    </xf>
    <xf numFmtId="176" fontId="4" fillId="0" borderId="8" xfId="0" applyNumberFormat="1" applyFont="1" applyBorder="1" applyAlignment="1">
      <alignment horizontal="center" vertical="center"/>
    </xf>
    <xf numFmtId="176" fontId="4" fillId="0" borderId="7" xfId="0" applyNumberFormat="1" applyFont="1" applyBorder="1" applyAlignment="1">
      <alignment horizontal="center" vertical="center"/>
    </xf>
    <xf numFmtId="176" fontId="4" fillId="0" borderId="17" xfId="0" applyNumberFormat="1" applyFont="1" applyBorder="1" applyAlignment="1">
      <alignment horizontal="center" vertical="center"/>
    </xf>
    <xf numFmtId="176" fontId="4" fillId="0" borderId="16" xfId="0" applyNumberFormat="1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176" fontId="4" fillId="0" borderId="24" xfId="0" applyNumberFormat="1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176" fontId="4" fillId="0" borderId="25" xfId="0" applyNumberFormat="1" applyFont="1" applyBorder="1" applyAlignment="1">
      <alignment horizontal="center" vertical="center"/>
    </xf>
    <xf numFmtId="0" fontId="4" fillId="0" borderId="0" xfId="0" applyFont="1">
      <alignment vertical="center"/>
    </xf>
    <xf numFmtId="176" fontId="4" fillId="0" borderId="4" xfId="0" applyNumberFormat="1" applyFont="1" applyBorder="1" applyAlignment="1">
      <alignment horizontal="center" vertical="center"/>
    </xf>
    <xf numFmtId="176" fontId="4" fillId="0" borderId="3" xfId="0" applyNumberFormat="1" applyFont="1" applyBorder="1" applyAlignment="1">
      <alignment horizontal="center" vertical="center"/>
    </xf>
    <xf numFmtId="176" fontId="4" fillId="0" borderId="2" xfId="0" applyNumberFormat="1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176" fontId="4" fillId="0" borderId="33" xfId="0" applyNumberFormat="1" applyFont="1" applyBorder="1" applyAlignment="1">
      <alignment horizontal="center" vertical="center"/>
    </xf>
    <xf numFmtId="176" fontId="4" fillId="0" borderId="34" xfId="0" applyNumberFormat="1" applyFont="1" applyBorder="1" applyAlignment="1">
      <alignment horizontal="center" vertical="center"/>
    </xf>
    <xf numFmtId="0" fontId="15" fillId="0" borderId="8" xfId="1" applyFont="1" applyBorder="1" applyAlignment="1">
      <alignment horizontal="center" vertical="center"/>
    </xf>
    <xf numFmtId="176" fontId="15" fillId="0" borderId="12" xfId="1" applyNumberFormat="1" applyFont="1" applyBorder="1" applyAlignment="1">
      <alignment horizontal="center" vertical="center"/>
    </xf>
    <xf numFmtId="0" fontId="15" fillId="0" borderId="9" xfId="1" applyFont="1" applyBorder="1" applyAlignment="1">
      <alignment horizontal="center" vertical="center"/>
    </xf>
    <xf numFmtId="176" fontId="15" fillId="0" borderId="13" xfId="1" applyNumberFormat="1" applyFont="1" applyBorder="1" applyAlignment="1">
      <alignment horizontal="center" vertical="center"/>
    </xf>
    <xf numFmtId="176" fontId="15" fillId="0" borderId="4" xfId="1" applyNumberFormat="1" applyFont="1" applyBorder="1" applyAlignment="1">
      <alignment horizontal="center" vertical="center"/>
    </xf>
    <xf numFmtId="176" fontId="15" fillId="0" borderId="3" xfId="1" applyNumberFormat="1" applyFont="1" applyBorder="1" applyAlignment="1">
      <alignment horizontal="center" vertical="center"/>
    </xf>
    <xf numFmtId="176" fontId="4" fillId="0" borderId="13" xfId="0" applyNumberFormat="1" applyFont="1" applyBorder="1" applyAlignment="1">
      <alignment horizontal="center" vertical="center"/>
    </xf>
    <xf numFmtId="176" fontId="4" fillId="0" borderId="12" xfId="0" applyNumberFormat="1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15" fillId="0" borderId="38" xfId="1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0" fontId="15" fillId="0" borderId="37" xfId="1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/>
    </xf>
    <xf numFmtId="0" fontId="4" fillId="0" borderId="50" xfId="0" applyFont="1" applyBorder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5" fillId="0" borderId="53" xfId="0" applyFont="1" applyBorder="1" applyAlignment="1">
      <alignment horizontal="center" vertical="center"/>
    </xf>
    <xf numFmtId="0" fontId="4" fillId="0" borderId="54" xfId="0" applyFont="1" applyBorder="1" applyAlignment="1">
      <alignment horizontal="center" vertical="center"/>
    </xf>
    <xf numFmtId="0" fontId="5" fillId="0" borderId="55" xfId="0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176" fontId="5" fillId="0" borderId="26" xfId="0" applyNumberFormat="1" applyFont="1" applyBorder="1" applyAlignment="1">
      <alignment horizontal="center" vertical="center"/>
    </xf>
    <xf numFmtId="176" fontId="5" fillId="0" borderId="21" xfId="0" applyNumberFormat="1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5" fillId="0" borderId="0" xfId="0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176" fontId="15" fillId="0" borderId="16" xfId="1" applyNumberFormat="1" applyFont="1" applyBorder="1" applyAlignment="1">
      <alignment horizontal="center" vertical="center"/>
    </xf>
    <xf numFmtId="176" fontId="15" fillId="0" borderId="17" xfId="1" applyNumberFormat="1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 shrinkToFit="1"/>
    </xf>
    <xf numFmtId="0" fontId="5" fillId="0" borderId="41" xfId="0" applyFont="1" applyBorder="1" applyAlignment="1">
      <alignment horizontal="center" vertical="center" shrinkToFit="1"/>
    </xf>
    <xf numFmtId="176" fontId="15" fillId="0" borderId="12" xfId="1" applyNumberFormat="1" applyFont="1" applyBorder="1" applyAlignment="1">
      <alignment horizontal="center" vertical="center" shrinkToFit="1"/>
    </xf>
    <xf numFmtId="0" fontId="15" fillId="0" borderId="9" xfId="1" applyFont="1" applyBorder="1" applyAlignment="1">
      <alignment horizontal="center" vertical="center" shrinkToFit="1"/>
    </xf>
    <xf numFmtId="0" fontId="15" fillId="0" borderId="8" xfId="1" applyFont="1" applyBorder="1" applyAlignment="1">
      <alignment horizontal="center" vertical="center" shrinkToFit="1"/>
    </xf>
    <xf numFmtId="176" fontId="15" fillId="0" borderId="16" xfId="1" applyNumberFormat="1" applyFont="1" applyBorder="1" applyAlignment="1">
      <alignment horizontal="center" vertical="center" shrinkToFit="1"/>
    </xf>
    <xf numFmtId="0" fontId="5" fillId="0" borderId="46" xfId="0" applyFont="1" applyBorder="1" applyAlignment="1">
      <alignment horizontal="center" vertical="center" shrinkToFit="1"/>
    </xf>
    <xf numFmtId="0" fontId="5" fillId="0" borderId="47" xfId="0" applyFont="1" applyBorder="1" applyAlignment="1">
      <alignment horizontal="center" vertical="center" shrinkToFit="1"/>
    </xf>
    <xf numFmtId="0" fontId="5" fillId="0" borderId="48" xfId="0" applyFont="1" applyBorder="1" applyAlignment="1">
      <alignment horizontal="center" vertical="center" shrinkToFit="1"/>
    </xf>
    <xf numFmtId="0" fontId="7" fillId="0" borderId="0" xfId="1" applyFont="1" applyAlignment="1">
      <alignment horizontal="center" vertical="center" shrinkToFit="1"/>
    </xf>
    <xf numFmtId="176" fontId="15" fillId="0" borderId="11" xfId="1" applyNumberFormat="1" applyFont="1" applyBorder="1" applyAlignment="1">
      <alignment horizontal="center" vertical="center" shrinkToFit="1"/>
    </xf>
    <xf numFmtId="0" fontId="15" fillId="0" borderId="7" xfId="1" applyFont="1" applyBorder="1" applyAlignment="1">
      <alignment horizontal="center" vertical="center" shrinkToFit="1"/>
    </xf>
    <xf numFmtId="176" fontId="15" fillId="0" borderId="15" xfId="1" applyNumberFormat="1" applyFont="1" applyBorder="1" applyAlignment="1">
      <alignment horizontal="center" vertical="center" shrinkToFit="1"/>
    </xf>
    <xf numFmtId="176" fontId="15" fillId="0" borderId="4" xfId="1" applyNumberFormat="1" applyFont="1" applyBorder="1" applyAlignment="1">
      <alignment horizontal="center" vertical="center" shrinkToFit="1"/>
    </xf>
    <xf numFmtId="0" fontId="5" fillId="0" borderId="56" xfId="0" applyFont="1" applyBorder="1" applyAlignment="1">
      <alignment horizontal="center" vertical="center" shrinkToFit="1"/>
    </xf>
    <xf numFmtId="176" fontId="15" fillId="0" borderId="8" xfId="1" applyNumberFormat="1" applyFont="1" applyBorder="1" applyAlignment="1">
      <alignment horizontal="center" vertical="center"/>
    </xf>
    <xf numFmtId="0" fontId="9" fillId="0" borderId="60" xfId="1" applyFont="1" applyBorder="1" applyAlignment="1">
      <alignment horizontal="center" vertical="center"/>
    </xf>
    <xf numFmtId="0" fontId="5" fillId="0" borderId="61" xfId="0" applyFont="1" applyBorder="1" applyAlignment="1">
      <alignment horizontal="center" vertical="center" shrinkToFit="1"/>
    </xf>
    <xf numFmtId="0" fontId="5" fillId="0" borderId="59" xfId="0" applyFont="1" applyBorder="1" applyAlignment="1">
      <alignment horizontal="center" vertical="center" shrinkToFit="1"/>
    </xf>
    <xf numFmtId="0" fontId="4" fillId="0" borderId="68" xfId="0" applyFont="1" applyBorder="1" applyAlignment="1">
      <alignment horizontal="center" vertical="center"/>
    </xf>
    <xf numFmtId="0" fontId="5" fillId="0" borderId="69" xfId="0" applyFont="1" applyBorder="1" applyAlignment="1">
      <alignment horizontal="center" vertical="center" shrinkToFit="1"/>
    </xf>
    <xf numFmtId="0" fontId="5" fillId="0" borderId="58" xfId="0" applyFont="1" applyBorder="1" applyAlignment="1">
      <alignment horizontal="center" vertical="center" shrinkToFit="1"/>
    </xf>
    <xf numFmtId="0" fontId="5" fillId="0" borderId="71" xfId="0" applyFont="1" applyBorder="1" applyAlignment="1">
      <alignment horizontal="center" vertical="center"/>
    </xf>
    <xf numFmtId="0" fontId="5" fillId="0" borderId="70" xfId="0" applyFont="1" applyBorder="1" applyAlignment="1">
      <alignment horizontal="center" vertical="center"/>
    </xf>
    <xf numFmtId="0" fontId="15" fillId="0" borderId="64" xfId="1" applyFont="1" applyBorder="1" applyAlignment="1">
      <alignment horizontal="center" vertical="center"/>
    </xf>
    <xf numFmtId="0" fontId="15" fillId="0" borderId="63" xfId="1" applyFont="1" applyBorder="1" applyAlignment="1">
      <alignment horizontal="center" vertical="center"/>
    </xf>
    <xf numFmtId="176" fontId="15" fillId="0" borderId="64" xfId="1" applyNumberFormat="1" applyFont="1" applyBorder="1" applyAlignment="1">
      <alignment horizontal="center" vertical="center"/>
    </xf>
    <xf numFmtId="176" fontId="15" fillId="0" borderId="63" xfId="1" applyNumberFormat="1" applyFont="1" applyBorder="1" applyAlignment="1">
      <alignment horizontal="center" vertical="center"/>
    </xf>
    <xf numFmtId="176" fontId="15" fillId="0" borderId="72" xfId="1" applyNumberFormat="1" applyFont="1" applyBorder="1" applyAlignment="1">
      <alignment horizontal="center" vertical="center"/>
    </xf>
    <xf numFmtId="176" fontId="15" fillId="0" borderId="73" xfId="1" applyNumberFormat="1" applyFont="1" applyBorder="1" applyAlignment="1">
      <alignment horizontal="center" vertical="center"/>
    </xf>
    <xf numFmtId="0" fontId="4" fillId="0" borderId="74" xfId="0" applyFont="1" applyBorder="1">
      <alignment vertical="center"/>
    </xf>
    <xf numFmtId="0" fontId="4" fillId="0" borderId="75" xfId="0" applyFont="1" applyBorder="1">
      <alignment vertical="center"/>
    </xf>
    <xf numFmtId="0" fontId="4" fillId="0" borderId="76" xfId="0" applyFont="1" applyBorder="1">
      <alignment vertical="center"/>
    </xf>
    <xf numFmtId="176" fontId="5" fillId="2" borderId="21" xfId="0" applyNumberFormat="1" applyFont="1" applyFill="1" applyBorder="1" applyAlignment="1">
      <alignment horizontal="center" vertical="center"/>
    </xf>
    <xf numFmtId="0" fontId="15" fillId="2" borderId="51" xfId="1" applyFont="1" applyFill="1" applyBorder="1" applyAlignment="1">
      <alignment horizontal="center" vertical="center"/>
    </xf>
    <xf numFmtId="0" fontId="4" fillId="2" borderId="37" xfId="0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/>
    </xf>
    <xf numFmtId="0" fontId="15" fillId="2" borderId="38" xfId="1" applyFont="1" applyFill="1" applyBorder="1" applyAlignment="1">
      <alignment horizontal="center" vertical="center"/>
    </xf>
    <xf numFmtId="176" fontId="4" fillId="0" borderId="77" xfId="0" applyNumberFormat="1" applyFont="1" applyBorder="1" applyAlignment="1">
      <alignment horizontal="center" vertical="center"/>
    </xf>
    <xf numFmtId="176" fontId="4" fillId="0" borderId="78" xfId="0" applyNumberFormat="1" applyFont="1" applyBorder="1" applyAlignment="1">
      <alignment horizontal="center" vertical="center"/>
    </xf>
    <xf numFmtId="0" fontId="5" fillId="0" borderId="79" xfId="0" applyFont="1" applyBorder="1" applyAlignment="1">
      <alignment horizontal="center" vertical="center"/>
    </xf>
    <xf numFmtId="0" fontId="5" fillId="0" borderId="81" xfId="0" applyFont="1" applyBorder="1" applyAlignment="1">
      <alignment horizontal="center" vertical="center"/>
    </xf>
    <xf numFmtId="178" fontId="0" fillId="0" borderId="0" xfId="0" applyNumberFormat="1">
      <alignment vertical="center"/>
    </xf>
    <xf numFmtId="179" fontId="15" fillId="0" borderId="12" xfId="1" applyNumberFormat="1" applyFont="1" applyBorder="1" applyAlignment="1">
      <alignment horizontal="center" vertical="center" shrinkToFit="1"/>
    </xf>
    <xf numFmtId="179" fontId="15" fillId="0" borderId="82" xfId="1" applyNumberFormat="1" applyFont="1" applyBorder="1" applyAlignment="1">
      <alignment horizontal="center" vertical="center" shrinkToFit="1"/>
    </xf>
    <xf numFmtId="0" fontId="1" fillId="0" borderId="85" xfId="2" applyBorder="1" applyAlignment="1">
      <alignment horizontal="center" vertical="center"/>
    </xf>
    <xf numFmtId="0" fontId="1" fillId="0" borderId="82" xfId="2" applyBorder="1" applyAlignment="1">
      <alignment horizontal="center" vertical="center"/>
    </xf>
    <xf numFmtId="0" fontId="4" fillId="2" borderId="62" xfId="0" applyFont="1" applyFill="1" applyBorder="1" applyAlignment="1">
      <alignment horizontal="center" vertical="center"/>
    </xf>
    <xf numFmtId="0" fontId="15" fillId="2" borderId="37" xfId="1" applyFont="1" applyFill="1" applyBorder="1" applyAlignment="1">
      <alignment horizontal="center" vertical="center"/>
    </xf>
    <xf numFmtId="0" fontId="12" fillId="0" borderId="57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4" fillId="0" borderId="80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5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5" fillId="0" borderId="83" xfId="1" applyFont="1" applyBorder="1" applyAlignment="1">
      <alignment horizontal="center" vertical="center" shrinkToFit="1"/>
    </xf>
    <xf numFmtId="0" fontId="15" fillId="0" borderId="84" xfId="1" applyFont="1" applyBorder="1" applyAlignment="1">
      <alignment horizontal="center" vertical="center" shrinkToFit="1"/>
    </xf>
    <xf numFmtId="0" fontId="15" fillId="0" borderId="58" xfId="1" applyFont="1" applyBorder="1" applyAlignment="1">
      <alignment horizontal="center" vertical="center" shrinkToFit="1"/>
    </xf>
    <xf numFmtId="0" fontId="0" fillId="0" borderId="60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" fillId="0" borderId="20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177" fontId="5" fillId="0" borderId="65" xfId="0" applyNumberFormat="1" applyFont="1" applyBorder="1" applyAlignment="1">
      <alignment horizontal="center" vertical="center"/>
    </xf>
    <xf numFmtId="177" fontId="5" fillId="0" borderId="66" xfId="0" applyNumberFormat="1" applyFont="1" applyBorder="1" applyAlignment="1">
      <alignment horizontal="center" vertical="center"/>
    </xf>
    <xf numFmtId="177" fontId="5" fillId="0" borderId="67" xfId="0" applyNumberFormat="1" applyFont="1" applyBorder="1" applyAlignment="1">
      <alignment horizontal="center" vertical="center"/>
    </xf>
    <xf numFmtId="176" fontId="15" fillId="2" borderId="12" xfId="1" applyNumberFormat="1" applyFont="1" applyFill="1" applyBorder="1" applyAlignment="1">
      <alignment horizontal="center" vertical="center"/>
    </xf>
    <xf numFmtId="176" fontId="15" fillId="2" borderId="84" xfId="1" applyNumberFormat="1" applyFont="1" applyFill="1" applyBorder="1" applyAlignment="1">
      <alignment horizontal="center" vertical="center"/>
    </xf>
    <xf numFmtId="176" fontId="15" fillId="2" borderId="87" xfId="1" applyNumberFormat="1" applyFont="1" applyFill="1" applyBorder="1" applyAlignment="1">
      <alignment horizontal="center" vertical="center"/>
    </xf>
    <xf numFmtId="176" fontId="15" fillId="2" borderId="86" xfId="1" applyNumberFormat="1" applyFont="1" applyFill="1" applyBorder="1" applyAlignment="1">
      <alignment horizontal="center" vertical="center"/>
    </xf>
    <xf numFmtId="176" fontId="15" fillId="2" borderId="75" xfId="1" applyNumberFormat="1" applyFont="1" applyFill="1" applyBorder="1" applyAlignment="1">
      <alignment horizontal="center" vertical="center"/>
    </xf>
    <xf numFmtId="176" fontId="15" fillId="2" borderId="76" xfId="1" applyNumberFormat="1" applyFont="1" applyFill="1" applyBorder="1" applyAlignment="1">
      <alignment horizontal="center" vertical="center"/>
    </xf>
    <xf numFmtId="176" fontId="15" fillId="2" borderId="88" xfId="1" applyNumberFormat="1" applyFont="1" applyFill="1" applyBorder="1" applyAlignment="1">
      <alignment horizontal="center" vertical="center"/>
    </xf>
    <xf numFmtId="176" fontId="15" fillId="2" borderId="89" xfId="1" applyNumberFormat="1" applyFont="1" applyFill="1" applyBorder="1" applyAlignment="1">
      <alignment horizontal="center" vertical="center"/>
    </xf>
    <xf numFmtId="176" fontId="15" fillId="2" borderId="90" xfId="1" applyNumberFormat="1" applyFont="1" applyFill="1" applyBorder="1" applyAlignment="1">
      <alignment horizontal="center" vertical="center"/>
    </xf>
    <xf numFmtId="176" fontId="15" fillId="2" borderId="58" xfId="1" applyNumberFormat="1" applyFont="1" applyFill="1" applyBorder="1" applyAlignment="1">
      <alignment horizontal="center" vertical="center"/>
    </xf>
    <xf numFmtId="0" fontId="4" fillId="0" borderId="9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92" xfId="0" applyBorder="1" applyAlignment="1">
      <alignment horizontal="center" vertical="center"/>
    </xf>
  </cellXfs>
  <cellStyles count="3">
    <cellStyle name="표준" xfId="0" builtinId="0"/>
    <cellStyle name="표준 2" xfId="1" xr:uid="{F62332C1-FF3B-466A-8C7C-6A3A5712E6AD}"/>
    <cellStyle name="표준 4" xfId="2" xr:uid="{5E317FDC-DB68-4FF9-8B50-5054B6A998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693F3-E269-4998-8FAC-FF0A64305B94}">
  <sheetPr>
    <pageSetUpPr fitToPage="1"/>
  </sheetPr>
  <dimension ref="B1:O46"/>
  <sheetViews>
    <sheetView tabSelected="1" zoomScaleNormal="100" workbookViewId="0">
      <selection activeCell="C6" sqref="C6:F9"/>
    </sheetView>
  </sheetViews>
  <sheetFormatPr defaultRowHeight="16.5" x14ac:dyDescent="0.3"/>
  <cols>
    <col min="1" max="1" width="6.375" customWidth="1"/>
    <col min="2" max="2" width="14.75" customWidth="1"/>
    <col min="3" max="3" width="16.375" customWidth="1"/>
    <col min="4" max="4" width="14.375" style="1" customWidth="1"/>
    <col min="5" max="5" width="15.75" style="1" customWidth="1"/>
    <col min="6" max="6" width="16.375" style="1" customWidth="1"/>
    <col min="7" max="7" width="16.75" style="1" customWidth="1"/>
    <col min="8" max="8" width="17.625" style="1" customWidth="1"/>
    <col min="9" max="9" width="10.25" style="1" customWidth="1"/>
    <col min="10" max="10" width="12" style="1" customWidth="1"/>
    <col min="11" max="11" width="12.5" style="1" customWidth="1"/>
    <col min="12" max="13" width="13.25" style="1" customWidth="1"/>
    <col min="14" max="14" width="15.75" style="1" customWidth="1"/>
    <col min="15" max="15" width="13.25" style="1" customWidth="1"/>
  </cols>
  <sheetData>
    <row r="1" spans="2:10" ht="54.6" customHeight="1" thickBot="1" x14ac:dyDescent="0.35">
      <c r="B1" s="125" t="s">
        <v>76</v>
      </c>
      <c r="C1" s="125"/>
      <c r="D1" s="125"/>
      <c r="E1" s="125"/>
      <c r="F1" s="125"/>
      <c r="G1"/>
      <c r="H1" s="68" t="s">
        <v>72</v>
      </c>
      <c r="I1"/>
      <c r="J1"/>
    </row>
    <row r="2" spans="2:10" ht="35.450000000000003" customHeight="1" thickBot="1" x14ac:dyDescent="0.35">
      <c r="B2" s="64" t="s">
        <v>15</v>
      </c>
      <c r="C2" s="65">
        <v>338</v>
      </c>
      <c r="D2" s="65" t="s">
        <v>0</v>
      </c>
      <c r="E2" s="66">
        <f>C2/11</f>
        <v>30.727272727272727</v>
      </c>
      <c r="F2" s="132" t="s">
        <v>14</v>
      </c>
      <c r="G2" s="133"/>
      <c r="H2" s="106">
        <f>C2/11*0.9</f>
        <v>27.654545454545456</v>
      </c>
    </row>
    <row r="3" spans="2:10" ht="35.450000000000003" customHeight="1" thickBot="1" x14ac:dyDescent="0.35">
      <c r="F3" s="132" t="s">
        <v>13</v>
      </c>
      <c r="G3" s="133"/>
      <c r="H3" s="67">
        <f>C2/11*1.1</f>
        <v>33.800000000000004</v>
      </c>
    </row>
    <row r="4" spans="2:10" ht="36.6" customHeight="1" thickBot="1" x14ac:dyDescent="0.35">
      <c r="B4" s="134" t="s">
        <v>39</v>
      </c>
      <c r="C4" s="135"/>
    </row>
    <row r="5" spans="2:10" ht="18.75" thickTop="1" thickBot="1" x14ac:dyDescent="0.35">
      <c r="B5" s="45" t="s">
        <v>7</v>
      </c>
      <c r="C5" s="53" t="s">
        <v>37</v>
      </c>
      <c r="D5" s="46" t="s">
        <v>36</v>
      </c>
      <c r="E5" s="46" t="s">
        <v>35</v>
      </c>
      <c r="F5" s="47" t="s">
        <v>34</v>
      </c>
      <c r="G5" s="60" t="s">
        <v>38</v>
      </c>
    </row>
    <row r="6" spans="2:10" ht="18" thickTop="1" x14ac:dyDescent="0.3">
      <c r="B6" s="43" t="s">
        <v>2</v>
      </c>
      <c r="C6" s="54">
        <v>190</v>
      </c>
      <c r="D6" s="55">
        <v>162</v>
      </c>
      <c r="E6" s="55">
        <v>86</v>
      </c>
      <c r="F6" s="59">
        <v>60</v>
      </c>
      <c r="G6" s="128">
        <f>SUM(C8:F8,C13:F13)</f>
        <v>33</v>
      </c>
      <c r="I6" s="1">
        <f>SUM(C6:F6,C11:F11)/3</f>
        <v>338</v>
      </c>
    </row>
    <row r="7" spans="2:10" ht="17.25" x14ac:dyDescent="0.3">
      <c r="B7" s="111" t="s">
        <v>71</v>
      </c>
      <c r="C7" s="18">
        <f>C6/33.8</f>
        <v>5.6213017751479297</v>
      </c>
      <c r="D7" s="18">
        <f t="shared" ref="D7:F7" si="0">D6/33.8</f>
        <v>4.7928994082840237</v>
      </c>
      <c r="E7" s="18">
        <f t="shared" si="0"/>
        <v>2.5443786982248522</v>
      </c>
      <c r="F7" s="114">
        <f t="shared" si="0"/>
        <v>1.775147928994083</v>
      </c>
      <c r="G7" s="129"/>
    </row>
    <row r="8" spans="2:10" ht="17.25" x14ac:dyDescent="0.3">
      <c r="B8" s="4" t="s">
        <v>1</v>
      </c>
      <c r="C8" s="15">
        <v>6</v>
      </c>
      <c r="D8" s="16">
        <v>5</v>
      </c>
      <c r="E8" s="16">
        <v>3</v>
      </c>
      <c r="F8" s="25">
        <v>2</v>
      </c>
      <c r="G8" s="129"/>
    </row>
    <row r="9" spans="2:10" ht="18" thickBot="1" x14ac:dyDescent="0.35">
      <c r="B9" s="6" t="s">
        <v>0</v>
      </c>
      <c r="C9" s="21">
        <f>C6/C8</f>
        <v>31.666666666666668</v>
      </c>
      <c r="D9" s="22">
        <f>D6/D8</f>
        <v>32.4</v>
      </c>
      <c r="E9" s="22">
        <f>E6/E8</f>
        <v>28.666666666666668</v>
      </c>
      <c r="F9" s="115">
        <f>F6/F8</f>
        <v>30</v>
      </c>
      <c r="G9" s="129"/>
    </row>
    <row r="10" spans="2:10" ht="18" thickBot="1" x14ac:dyDescent="0.35">
      <c r="B10" s="49" t="s">
        <v>7</v>
      </c>
      <c r="C10" s="52" t="s">
        <v>33</v>
      </c>
      <c r="D10" s="50" t="s">
        <v>32</v>
      </c>
      <c r="E10" s="50" t="s">
        <v>31</v>
      </c>
      <c r="F10" s="116" t="s">
        <v>30</v>
      </c>
      <c r="G10" s="129"/>
    </row>
    <row r="11" spans="2:10" ht="18" thickTop="1" x14ac:dyDescent="0.3">
      <c r="B11" s="43" t="s">
        <v>2</v>
      </c>
      <c r="C11" s="54">
        <v>124</v>
      </c>
      <c r="D11" s="55">
        <v>44</v>
      </c>
      <c r="E11" s="55">
        <v>173</v>
      </c>
      <c r="F11" s="59">
        <v>175</v>
      </c>
      <c r="G11" s="129"/>
    </row>
    <row r="12" spans="2:10" ht="17.25" x14ac:dyDescent="0.3">
      <c r="B12" s="110" t="s">
        <v>71</v>
      </c>
      <c r="C12" s="18">
        <f>C11/33.8</f>
        <v>3.6686390532544384</v>
      </c>
      <c r="D12" s="18">
        <f t="shared" ref="D12:F12" si="1">D11/33.8</f>
        <v>1.3017751479289943</v>
      </c>
      <c r="E12" s="18">
        <f t="shared" si="1"/>
        <v>5.1183431952662728</v>
      </c>
      <c r="F12" s="114">
        <f t="shared" si="1"/>
        <v>5.1775147928994087</v>
      </c>
      <c r="G12" s="129"/>
    </row>
    <row r="13" spans="2:10" ht="17.25" x14ac:dyDescent="0.3">
      <c r="B13" s="4" t="s">
        <v>1</v>
      </c>
      <c r="C13" s="15">
        <v>4</v>
      </c>
      <c r="D13" s="16">
        <v>2</v>
      </c>
      <c r="E13" s="16">
        <v>5</v>
      </c>
      <c r="F13" s="25">
        <v>6</v>
      </c>
      <c r="G13" s="129"/>
    </row>
    <row r="14" spans="2:10" ht="18" thickBot="1" x14ac:dyDescent="0.35">
      <c r="B14" s="3" t="s">
        <v>0</v>
      </c>
      <c r="C14" s="28">
        <f>C11/C13</f>
        <v>31</v>
      </c>
      <c r="D14" s="29">
        <f>D11/D13</f>
        <v>22</v>
      </c>
      <c r="E14" s="29">
        <f>E11/E13</f>
        <v>34.6</v>
      </c>
      <c r="F14" s="34">
        <f>F11/F13</f>
        <v>29.166666666666668</v>
      </c>
      <c r="G14" s="130"/>
    </row>
    <row r="15" spans="2:10" ht="18" thickTop="1" thickBot="1" x14ac:dyDescent="0.35"/>
    <row r="16" spans="2:10" ht="18.75" thickTop="1" thickBot="1" x14ac:dyDescent="0.35">
      <c r="B16" s="61" t="s">
        <v>7</v>
      </c>
      <c r="C16" s="62" t="s">
        <v>29</v>
      </c>
      <c r="D16" s="46" t="s">
        <v>28</v>
      </c>
      <c r="E16" s="63" t="s">
        <v>4</v>
      </c>
      <c r="F16" s="48" t="s">
        <v>38</v>
      </c>
    </row>
    <row r="17" spans="2:14" ht="18" thickTop="1" x14ac:dyDescent="0.3">
      <c r="B17" s="57" t="s">
        <v>2</v>
      </c>
      <c r="C17" s="58">
        <v>238</v>
      </c>
      <c r="D17" s="109">
        <v>0</v>
      </c>
      <c r="E17" s="59">
        <v>100</v>
      </c>
      <c r="F17" s="131">
        <f>SUM(C19:E19)</f>
        <v>11</v>
      </c>
      <c r="H17" s="1">
        <f>SUM(C17:E17)</f>
        <v>338</v>
      </c>
    </row>
    <row r="18" spans="2:14" ht="17.25" x14ac:dyDescent="0.3">
      <c r="B18" s="112" t="s">
        <v>71</v>
      </c>
      <c r="C18" s="24">
        <f>C17/33.8</f>
        <v>7.0414201183431961</v>
      </c>
      <c r="D18" s="19">
        <f t="shared" ref="D18:E18" si="2">D17/33.8</f>
        <v>0</v>
      </c>
      <c r="E18" s="26">
        <f t="shared" si="2"/>
        <v>2.9585798816568052</v>
      </c>
      <c r="F18" s="129"/>
    </row>
    <row r="19" spans="2:14" ht="17.25" x14ac:dyDescent="0.3">
      <c r="B19" s="31" t="s">
        <v>1</v>
      </c>
      <c r="C19" s="23">
        <v>8</v>
      </c>
      <c r="D19" s="16"/>
      <c r="E19" s="25">
        <v>3</v>
      </c>
      <c r="F19" s="129"/>
    </row>
    <row r="20" spans="2:14" ht="18" thickBot="1" x14ac:dyDescent="0.35">
      <c r="B20" s="32" t="s">
        <v>0</v>
      </c>
      <c r="C20" s="33">
        <f>C17/C19</f>
        <v>29.75</v>
      </c>
      <c r="D20" s="29"/>
      <c r="E20" s="34">
        <f>E17/E19</f>
        <v>33.333333333333336</v>
      </c>
      <c r="F20" s="130"/>
    </row>
    <row r="21" spans="2:14" ht="18" thickTop="1" thickBot="1" x14ac:dyDescent="0.35"/>
    <row r="22" spans="2:14" ht="36.6" customHeight="1" thickBot="1" x14ac:dyDescent="0.35">
      <c r="B22" s="126" t="s">
        <v>40</v>
      </c>
      <c r="C22" s="127"/>
    </row>
    <row r="23" spans="2:14" ht="18.75" thickTop="1" thickBot="1" x14ac:dyDescent="0.35">
      <c r="B23" s="45" t="s">
        <v>7</v>
      </c>
      <c r="C23" s="53" t="s">
        <v>27</v>
      </c>
      <c r="D23" s="46" t="s">
        <v>26</v>
      </c>
      <c r="E23" s="46" t="s">
        <v>25</v>
      </c>
      <c r="F23" s="46" t="s">
        <v>24</v>
      </c>
      <c r="G23" s="117"/>
      <c r="H23" s="48" t="s">
        <v>38</v>
      </c>
    </row>
    <row r="24" spans="2:14" ht="18" thickTop="1" x14ac:dyDescent="0.3">
      <c r="B24" s="43" t="s">
        <v>2</v>
      </c>
      <c r="C24" s="108">
        <v>0</v>
      </c>
      <c r="D24" s="55">
        <v>323</v>
      </c>
      <c r="E24" s="109">
        <v>0</v>
      </c>
      <c r="F24" s="55">
        <v>57</v>
      </c>
      <c r="G24" s="59"/>
      <c r="H24" s="158">
        <f>SUM(C26:H26,C31:G31)</f>
        <v>33</v>
      </c>
      <c r="J24" s="1">
        <f>SUM(C24:F24,C29:G29)/3</f>
        <v>338</v>
      </c>
    </row>
    <row r="25" spans="2:14" ht="17.25" x14ac:dyDescent="0.3">
      <c r="B25" s="110" t="s">
        <v>71</v>
      </c>
      <c r="C25" s="18">
        <f>C24/33.8</f>
        <v>0</v>
      </c>
      <c r="D25" s="18">
        <f t="shared" ref="D25:F25" si="3">D24/33.8</f>
        <v>9.5562130177514799</v>
      </c>
      <c r="E25" s="18">
        <f t="shared" si="3"/>
        <v>0</v>
      </c>
      <c r="F25" s="18">
        <f t="shared" si="3"/>
        <v>1.6863905325443789</v>
      </c>
      <c r="G25" s="26"/>
      <c r="H25" s="159"/>
    </row>
    <row r="26" spans="2:14" ht="17.25" x14ac:dyDescent="0.3">
      <c r="B26" s="4" t="s">
        <v>1</v>
      </c>
      <c r="C26" s="15"/>
      <c r="D26" s="16">
        <v>10</v>
      </c>
      <c r="E26" s="16"/>
      <c r="F26" s="16">
        <v>2</v>
      </c>
      <c r="G26" s="25"/>
      <c r="H26" s="159"/>
    </row>
    <row r="27" spans="2:14" ht="18" thickBot="1" x14ac:dyDescent="0.35">
      <c r="B27" s="6" t="s">
        <v>0</v>
      </c>
      <c r="C27" s="21"/>
      <c r="D27" s="22">
        <f>D24/D26</f>
        <v>32.299999999999997</v>
      </c>
      <c r="E27" s="22"/>
      <c r="F27" s="22">
        <f>F24/F26</f>
        <v>28.5</v>
      </c>
      <c r="G27" s="115"/>
      <c r="H27" s="159"/>
    </row>
    <row r="28" spans="2:14" ht="18" thickBot="1" x14ac:dyDescent="0.35">
      <c r="B28" s="49" t="s">
        <v>7</v>
      </c>
      <c r="C28" s="52" t="s">
        <v>23</v>
      </c>
      <c r="D28" s="50" t="s">
        <v>22</v>
      </c>
      <c r="E28" s="50" t="s">
        <v>21</v>
      </c>
      <c r="F28" s="50" t="s">
        <v>20</v>
      </c>
      <c r="G28" s="116" t="s">
        <v>19</v>
      </c>
      <c r="H28" s="159"/>
      <c r="J28" s="12"/>
      <c r="K28" s="12"/>
      <c r="L28" s="12"/>
      <c r="M28" s="12"/>
      <c r="N28" s="12"/>
    </row>
    <row r="29" spans="2:14" ht="18" thickTop="1" x14ac:dyDescent="0.3">
      <c r="B29" s="43" t="s">
        <v>2</v>
      </c>
      <c r="C29" s="54">
        <v>151</v>
      </c>
      <c r="D29" s="55">
        <v>120</v>
      </c>
      <c r="E29" s="55">
        <v>85</v>
      </c>
      <c r="F29" s="55">
        <v>158</v>
      </c>
      <c r="G29" s="59">
        <v>120</v>
      </c>
      <c r="H29" s="159"/>
      <c r="J29" s="12"/>
      <c r="K29" s="12"/>
      <c r="L29" s="12"/>
      <c r="M29" s="12"/>
      <c r="N29" s="12"/>
    </row>
    <row r="30" spans="2:14" ht="17.25" x14ac:dyDescent="0.3">
      <c r="B30" s="110" t="s">
        <v>71</v>
      </c>
      <c r="C30" s="18">
        <f>C29/33.8</f>
        <v>4.4674556213017755</v>
      </c>
      <c r="D30" s="19">
        <f t="shared" ref="D30:G30" si="4">D29/33.8</f>
        <v>3.550295857988166</v>
      </c>
      <c r="E30" s="19">
        <f t="shared" si="4"/>
        <v>2.5147928994082842</v>
      </c>
      <c r="F30" s="19">
        <f t="shared" si="4"/>
        <v>4.6745562130177518</v>
      </c>
      <c r="G30" s="26">
        <f t="shared" si="4"/>
        <v>3.550295857988166</v>
      </c>
      <c r="H30" s="159"/>
      <c r="J30" s="12"/>
      <c r="K30" s="12"/>
      <c r="L30" s="12"/>
      <c r="M30" s="12"/>
      <c r="N30" s="12"/>
    </row>
    <row r="31" spans="2:14" ht="17.25" x14ac:dyDescent="0.3">
      <c r="B31" s="4" t="s">
        <v>1</v>
      </c>
      <c r="C31" s="15">
        <v>5</v>
      </c>
      <c r="D31" s="16">
        <v>4</v>
      </c>
      <c r="E31" s="16">
        <v>3</v>
      </c>
      <c r="F31" s="16">
        <v>5</v>
      </c>
      <c r="G31" s="25">
        <v>4</v>
      </c>
      <c r="H31" s="159"/>
      <c r="J31" s="12"/>
      <c r="K31" s="12"/>
      <c r="L31" s="12"/>
      <c r="M31" s="12"/>
      <c r="N31" s="12"/>
    </row>
    <row r="32" spans="2:14" ht="18" thickBot="1" x14ac:dyDescent="0.35">
      <c r="B32" s="3" t="s">
        <v>0</v>
      </c>
      <c r="C32" s="28">
        <f t="shared" ref="C32:E32" si="5">C29/C31</f>
        <v>30.2</v>
      </c>
      <c r="D32" s="29">
        <f t="shared" si="5"/>
        <v>30</v>
      </c>
      <c r="E32" s="29">
        <f t="shared" si="5"/>
        <v>28.333333333333332</v>
      </c>
      <c r="F32" s="29">
        <f>F29/F31</f>
        <v>31.6</v>
      </c>
      <c r="G32" s="34">
        <f>G29/G31</f>
        <v>30</v>
      </c>
      <c r="H32" s="160"/>
      <c r="J32" s="12"/>
      <c r="K32" s="12"/>
      <c r="L32" s="12"/>
      <c r="M32" s="12"/>
      <c r="N32" s="12"/>
    </row>
    <row r="33" spans="2:7" ht="18" thickTop="1" thickBot="1" x14ac:dyDescent="0.35"/>
    <row r="34" spans="2:7" ht="18.75" thickTop="1" thickBot="1" x14ac:dyDescent="0.35">
      <c r="B34" s="61" t="s">
        <v>7</v>
      </c>
      <c r="C34" s="62" t="s">
        <v>18</v>
      </c>
      <c r="D34" s="46" t="s">
        <v>17</v>
      </c>
      <c r="E34" s="47" t="s">
        <v>16</v>
      </c>
      <c r="F34" s="48" t="s">
        <v>38</v>
      </c>
      <c r="G34" s="161" t="s">
        <v>77</v>
      </c>
    </row>
    <row r="35" spans="2:7" ht="18" thickTop="1" x14ac:dyDescent="0.3">
      <c r="B35" s="57" t="s">
        <v>2</v>
      </c>
      <c r="C35" s="58">
        <v>236</v>
      </c>
      <c r="D35" s="109">
        <v>0</v>
      </c>
      <c r="E35" s="56">
        <v>102</v>
      </c>
      <c r="F35" s="131">
        <f>SUM(C37:E37)</f>
        <v>11</v>
      </c>
      <c r="G35" s="161"/>
    </row>
    <row r="36" spans="2:7" ht="17.25" x14ac:dyDescent="0.3">
      <c r="B36" s="112" t="s">
        <v>71</v>
      </c>
      <c r="C36" s="24">
        <f>C35/33.8</f>
        <v>6.9822485207100602</v>
      </c>
      <c r="D36" s="19">
        <f t="shared" ref="D36:E36" si="6">D35/33.8</f>
        <v>0</v>
      </c>
      <c r="E36" s="20">
        <f t="shared" si="6"/>
        <v>3.0177514792899411</v>
      </c>
      <c r="F36" s="129"/>
      <c r="G36" s="161"/>
    </row>
    <row r="37" spans="2:7" ht="17.25" x14ac:dyDescent="0.3">
      <c r="B37" s="31" t="s">
        <v>1</v>
      </c>
      <c r="C37" s="23">
        <v>7</v>
      </c>
      <c r="D37" s="16"/>
      <c r="E37" s="17">
        <v>4</v>
      </c>
      <c r="F37" s="129"/>
      <c r="G37" s="161"/>
    </row>
    <row r="38" spans="2:7" ht="18" thickBot="1" x14ac:dyDescent="0.35">
      <c r="B38" s="32" t="s">
        <v>0</v>
      </c>
      <c r="C38" s="33">
        <f>C35/C37</f>
        <v>33.714285714285715</v>
      </c>
      <c r="D38" s="29"/>
      <c r="E38" s="30">
        <f>E35/E37</f>
        <v>25.5</v>
      </c>
      <c r="F38" s="130"/>
      <c r="G38" s="161"/>
    </row>
    <row r="39" spans="2:7" ht="17.25" thickTop="1" x14ac:dyDescent="0.3"/>
    <row r="40" spans="2:7" ht="17.25" thickBot="1" x14ac:dyDescent="0.35">
      <c r="C40" s="13"/>
    </row>
    <row r="41" spans="2:7" ht="18.75" thickTop="1" thickBot="1" x14ac:dyDescent="0.35">
      <c r="B41" s="61" t="s">
        <v>7</v>
      </c>
      <c r="C41" s="62" t="s">
        <v>18</v>
      </c>
      <c r="D41" s="46" t="s">
        <v>17</v>
      </c>
      <c r="E41" s="47" t="s">
        <v>16</v>
      </c>
      <c r="F41" s="48" t="s">
        <v>38</v>
      </c>
      <c r="G41" s="161" t="s">
        <v>78</v>
      </c>
    </row>
    <row r="42" spans="2:7" ht="18" thickTop="1" x14ac:dyDescent="0.3">
      <c r="B42" s="57" t="s">
        <v>2</v>
      </c>
      <c r="C42" s="58">
        <v>236</v>
      </c>
      <c r="D42" s="109">
        <v>0</v>
      </c>
      <c r="E42" s="56">
        <v>102</v>
      </c>
      <c r="F42" s="131">
        <f>SUM(C44:E44)</f>
        <v>11</v>
      </c>
      <c r="G42" s="161"/>
    </row>
    <row r="43" spans="2:7" ht="17.25" x14ac:dyDescent="0.3">
      <c r="B43" s="112" t="s">
        <v>71</v>
      </c>
      <c r="C43" s="24">
        <f>C42/33.8</f>
        <v>6.9822485207100602</v>
      </c>
      <c r="D43" s="19">
        <f t="shared" ref="D43:E43" si="7">D42/33.8</f>
        <v>0</v>
      </c>
      <c r="E43" s="20">
        <f t="shared" si="7"/>
        <v>3.0177514792899411</v>
      </c>
      <c r="F43" s="129"/>
      <c r="G43" s="161"/>
    </row>
    <row r="44" spans="2:7" ht="17.25" x14ac:dyDescent="0.3">
      <c r="B44" s="31" t="s">
        <v>1</v>
      </c>
      <c r="C44" s="23">
        <v>8</v>
      </c>
      <c r="D44" s="16"/>
      <c r="E44" s="17">
        <v>3</v>
      </c>
      <c r="F44" s="129"/>
      <c r="G44" s="161"/>
    </row>
    <row r="45" spans="2:7" ht="18" thickBot="1" x14ac:dyDescent="0.35">
      <c r="B45" s="32" t="s">
        <v>0</v>
      </c>
      <c r="C45" s="33">
        <f>C42/C44</f>
        <v>29.5</v>
      </c>
      <c r="D45" s="29"/>
      <c r="E45" s="30">
        <f>E42/E44</f>
        <v>34</v>
      </c>
      <c r="F45" s="130"/>
      <c r="G45" s="161"/>
    </row>
    <row r="46" spans="2:7" ht="17.25" thickTop="1" x14ac:dyDescent="0.3"/>
  </sheetData>
  <mergeCells count="12">
    <mergeCell ref="H24:H32"/>
    <mergeCell ref="F42:F45"/>
    <mergeCell ref="G34:G38"/>
    <mergeCell ref="G41:G45"/>
    <mergeCell ref="B1:F1"/>
    <mergeCell ref="B22:C22"/>
    <mergeCell ref="F35:F38"/>
    <mergeCell ref="F2:G2"/>
    <mergeCell ref="F3:G3"/>
    <mergeCell ref="F17:F20"/>
    <mergeCell ref="B4:C4"/>
    <mergeCell ref="G6:G14"/>
  </mergeCells>
  <phoneticPr fontId="3" type="noConversion"/>
  <pageMargins left="0.7" right="0.7" top="0.75" bottom="0.75" header="0.3" footer="0.3"/>
  <pageSetup paperSize="9" scale="65" fitToHeight="0" orientation="portrait" verticalDpi="0" r:id="rId1"/>
  <colBreaks count="1" manualBreakCount="1">
    <brk id="11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F0345-F12F-4536-B537-9C655941BC54}">
  <sheetPr>
    <pageSetUpPr fitToPage="1"/>
  </sheetPr>
  <dimension ref="B1:U56"/>
  <sheetViews>
    <sheetView topLeftCell="A29" zoomScaleNormal="100" workbookViewId="0">
      <selection activeCell="G17" sqref="G17"/>
    </sheetView>
  </sheetViews>
  <sheetFormatPr defaultRowHeight="16.5" x14ac:dyDescent="0.3"/>
  <cols>
    <col min="1" max="1" width="6.75" customWidth="1"/>
    <col min="2" max="2" width="15.75" customWidth="1"/>
    <col min="3" max="9" width="15.375" customWidth="1"/>
    <col min="10" max="10" width="14.25" style="1" customWidth="1"/>
    <col min="12" max="12" width="29.875" style="1" customWidth="1"/>
    <col min="13" max="13" width="12.125" style="1" customWidth="1"/>
  </cols>
  <sheetData>
    <row r="1" spans="2:21" ht="39" thickBot="1" x14ac:dyDescent="0.35">
      <c r="B1" s="125" t="s">
        <v>73</v>
      </c>
      <c r="C1" s="125"/>
      <c r="D1" s="125"/>
      <c r="E1" s="125"/>
      <c r="F1" s="125"/>
      <c r="J1" s="68" t="s">
        <v>72</v>
      </c>
    </row>
    <row r="2" spans="2:21" ht="36.75" customHeight="1" thickBot="1" x14ac:dyDescent="0.35">
      <c r="B2" s="64" t="s">
        <v>15</v>
      </c>
      <c r="C2" s="65">
        <v>307</v>
      </c>
      <c r="D2" s="65" t="s">
        <v>0</v>
      </c>
      <c r="E2" s="66">
        <f>C2/11</f>
        <v>27.90909090909091</v>
      </c>
      <c r="F2" s="132" t="s">
        <v>14</v>
      </c>
      <c r="G2" s="133"/>
      <c r="H2" s="106">
        <f>C2/11*0.9</f>
        <v>25.118181818181821</v>
      </c>
      <c r="I2" s="141" t="s">
        <v>74</v>
      </c>
      <c r="J2" s="142"/>
    </row>
    <row r="3" spans="2:21" ht="36" customHeight="1" thickBot="1" x14ac:dyDescent="0.35">
      <c r="B3" s="1"/>
      <c r="C3" s="1"/>
      <c r="D3" s="1"/>
      <c r="E3" s="12"/>
      <c r="F3" s="132" t="s">
        <v>13</v>
      </c>
      <c r="G3" s="133"/>
      <c r="H3" s="67">
        <f>C2/11*1.1</f>
        <v>30.700000000000003</v>
      </c>
      <c r="I3" s="141"/>
      <c r="J3" s="142"/>
    </row>
    <row r="4" spans="2:21" ht="26.45" customHeight="1" thickBot="1" x14ac:dyDescent="0.35">
      <c r="B4" s="1"/>
      <c r="C4" s="1"/>
      <c r="D4" s="1"/>
      <c r="E4" s="12"/>
      <c r="F4" s="69"/>
      <c r="G4" s="69"/>
      <c r="H4" s="70"/>
      <c r="I4" s="1"/>
      <c r="J4" s="12"/>
    </row>
    <row r="5" spans="2:21" ht="26.45" customHeight="1" thickBot="1" x14ac:dyDescent="0.35">
      <c r="B5" s="143" t="s">
        <v>12</v>
      </c>
      <c r="C5" s="144"/>
    </row>
    <row r="6" spans="2:21" ht="18.75" thickTop="1" thickBot="1" x14ac:dyDescent="0.35">
      <c r="B6" s="45" t="s">
        <v>7</v>
      </c>
      <c r="C6" s="74" t="s">
        <v>41</v>
      </c>
      <c r="D6" s="73" t="s">
        <v>42</v>
      </c>
      <c r="E6" s="73" t="s">
        <v>44</v>
      </c>
      <c r="F6" s="73" t="s">
        <v>43</v>
      </c>
      <c r="G6" s="73" t="s">
        <v>45</v>
      </c>
      <c r="H6" s="73" t="s">
        <v>46</v>
      </c>
      <c r="I6" s="48" t="s">
        <v>3</v>
      </c>
      <c r="J6"/>
      <c r="K6" s="14"/>
      <c r="M6"/>
    </row>
    <row r="7" spans="2:21" ht="18" thickTop="1" x14ac:dyDescent="0.3">
      <c r="B7" s="43" t="s">
        <v>2</v>
      </c>
      <c r="C7" s="51">
        <v>286</v>
      </c>
      <c r="D7" s="51">
        <v>48</v>
      </c>
      <c r="E7" s="51">
        <v>157</v>
      </c>
      <c r="F7" s="51">
        <v>44</v>
      </c>
      <c r="G7" s="51">
        <v>49</v>
      </c>
      <c r="H7" s="51">
        <v>215</v>
      </c>
      <c r="I7" s="136">
        <f>SUM(C9:H9,C14:G14,C19:H19)</f>
        <v>55</v>
      </c>
      <c r="J7" s="118">
        <f>(SUM(C7:H7)+SUM(C12:H12)+SUM(C17:H17))/5</f>
        <v>307</v>
      </c>
      <c r="K7" s="1"/>
      <c r="L7" s="12"/>
      <c r="M7"/>
    </row>
    <row r="8" spans="2:21" ht="17.25" x14ac:dyDescent="0.3">
      <c r="B8" s="110" t="s">
        <v>71</v>
      </c>
      <c r="C8" s="75">
        <f>C7/$H$3</f>
        <v>9.3159609120521161</v>
      </c>
      <c r="D8" s="75">
        <f t="shared" ref="D8:H8" si="0">D7/$H$3</f>
        <v>1.5635179153094461</v>
      </c>
      <c r="E8" s="75">
        <f t="shared" si="0"/>
        <v>5.1140065146579801</v>
      </c>
      <c r="F8" s="75">
        <f t="shared" si="0"/>
        <v>1.4332247557003257</v>
      </c>
      <c r="G8" s="75">
        <f t="shared" si="0"/>
        <v>1.5960912052117262</v>
      </c>
      <c r="H8" s="75">
        <f t="shared" si="0"/>
        <v>7.0032573289902276</v>
      </c>
      <c r="I8" s="136"/>
      <c r="K8" s="1"/>
      <c r="L8" s="12"/>
      <c r="M8"/>
    </row>
    <row r="9" spans="2:21" ht="17.25" x14ac:dyDescent="0.3">
      <c r="B9" s="4" t="s">
        <v>1</v>
      </c>
      <c r="C9" s="76">
        <v>10</v>
      </c>
      <c r="D9" s="77">
        <v>2</v>
      </c>
      <c r="E9" s="77">
        <v>6</v>
      </c>
      <c r="F9" s="77">
        <v>2</v>
      </c>
      <c r="G9" s="77">
        <v>2</v>
      </c>
      <c r="H9" s="77">
        <v>7</v>
      </c>
      <c r="I9" s="136"/>
      <c r="J9" s="11"/>
      <c r="K9" s="1"/>
      <c r="M9"/>
    </row>
    <row r="10" spans="2:21" ht="18" thickBot="1" x14ac:dyDescent="0.35">
      <c r="B10" s="6" t="s">
        <v>0</v>
      </c>
      <c r="C10" s="78">
        <f>C7/C9</f>
        <v>28.6</v>
      </c>
      <c r="D10" s="78">
        <f>D7/D9</f>
        <v>24</v>
      </c>
      <c r="E10" s="78">
        <f t="shared" ref="E10:H10" si="1">E7/E9</f>
        <v>26.166666666666668</v>
      </c>
      <c r="F10" s="78">
        <f t="shared" si="1"/>
        <v>22</v>
      </c>
      <c r="G10" s="78">
        <f t="shared" si="1"/>
        <v>24.5</v>
      </c>
      <c r="H10" s="78">
        <f t="shared" si="1"/>
        <v>30.714285714285715</v>
      </c>
      <c r="I10" s="136"/>
      <c r="J10"/>
      <c r="K10" s="1"/>
      <c r="M10"/>
    </row>
    <row r="11" spans="2:21" ht="18" thickBot="1" x14ac:dyDescent="0.35">
      <c r="B11" s="49" t="s">
        <v>7</v>
      </c>
      <c r="C11" s="79" t="s">
        <v>47</v>
      </c>
      <c r="D11" s="80" t="s">
        <v>48</v>
      </c>
      <c r="E11" s="80" t="s">
        <v>49</v>
      </c>
      <c r="F11" s="80" t="s">
        <v>50</v>
      </c>
      <c r="G11" s="81" t="s">
        <v>10</v>
      </c>
      <c r="H11" s="82"/>
      <c r="I11" s="136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</row>
    <row r="12" spans="2:21" ht="18" thickTop="1" x14ac:dyDescent="0.3">
      <c r="B12" s="43" t="s">
        <v>2</v>
      </c>
      <c r="C12" s="119">
        <v>58</v>
      </c>
      <c r="D12" s="119">
        <v>44</v>
      </c>
      <c r="E12" s="119">
        <v>63</v>
      </c>
      <c r="F12" s="119">
        <v>129</v>
      </c>
      <c r="G12" s="120">
        <v>81</v>
      </c>
      <c r="H12" s="82"/>
      <c r="I12" s="136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</row>
    <row r="13" spans="2:21" ht="17.25" x14ac:dyDescent="0.3">
      <c r="B13" s="110" t="s">
        <v>71</v>
      </c>
      <c r="C13" s="75">
        <f>C12/$H$3</f>
        <v>1.8892508143322473</v>
      </c>
      <c r="D13" s="75">
        <f t="shared" ref="D13:G13" si="2">D12/$H$3</f>
        <v>1.4332247557003257</v>
      </c>
      <c r="E13" s="75">
        <f t="shared" si="2"/>
        <v>2.0521172638436482</v>
      </c>
      <c r="F13" s="75">
        <f t="shared" si="2"/>
        <v>4.201954397394136</v>
      </c>
      <c r="G13" s="83">
        <f t="shared" si="2"/>
        <v>2.6384364820846904</v>
      </c>
      <c r="H13" s="82"/>
      <c r="I13" s="136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spans="2:21" ht="17.25" x14ac:dyDescent="0.3">
      <c r="B14" s="4" t="s">
        <v>1</v>
      </c>
      <c r="C14" s="76">
        <v>2</v>
      </c>
      <c r="D14" s="77">
        <v>2</v>
      </c>
      <c r="E14" s="77">
        <v>2</v>
      </c>
      <c r="F14" s="77">
        <v>5</v>
      </c>
      <c r="G14" s="84">
        <v>3</v>
      </c>
      <c r="H14" s="82"/>
      <c r="I14" s="136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</row>
    <row r="15" spans="2:21" ht="18" thickBot="1" x14ac:dyDescent="0.35">
      <c r="B15" s="6" t="s">
        <v>0</v>
      </c>
      <c r="C15" s="78">
        <f>C12/C14</f>
        <v>29</v>
      </c>
      <c r="D15" s="78">
        <f>D12/D14</f>
        <v>22</v>
      </c>
      <c r="E15" s="78">
        <f>E12/E14</f>
        <v>31.5</v>
      </c>
      <c r="F15" s="78">
        <f>F12/F14</f>
        <v>25.8</v>
      </c>
      <c r="G15" s="85">
        <f>G12/G14</f>
        <v>27</v>
      </c>
      <c r="H15" s="82"/>
      <c r="I15" s="136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</row>
    <row r="16" spans="2:21" ht="18" thickBot="1" x14ac:dyDescent="0.35">
      <c r="B16" s="49" t="s">
        <v>7</v>
      </c>
      <c r="C16" s="79" t="s">
        <v>51</v>
      </c>
      <c r="D16" s="80" t="s">
        <v>52</v>
      </c>
      <c r="E16" s="80" t="s">
        <v>53</v>
      </c>
      <c r="F16" s="80" t="s">
        <v>54</v>
      </c>
      <c r="G16" s="80" t="s">
        <v>55</v>
      </c>
      <c r="H16" s="80"/>
      <c r="I16" s="136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</row>
    <row r="17" spans="2:13" ht="18" thickTop="1" x14ac:dyDescent="0.3">
      <c r="B17" s="43" t="s">
        <v>2</v>
      </c>
      <c r="C17" s="76">
        <v>116</v>
      </c>
      <c r="D17" s="77">
        <v>83</v>
      </c>
      <c r="E17" s="77">
        <v>94</v>
      </c>
      <c r="F17" s="77">
        <v>35</v>
      </c>
      <c r="G17" s="77">
        <v>33</v>
      </c>
      <c r="H17" s="138"/>
      <c r="I17" s="136"/>
      <c r="J17"/>
      <c r="K17" s="1"/>
      <c r="M17"/>
    </row>
    <row r="18" spans="2:13" ht="17.25" x14ac:dyDescent="0.3">
      <c r="B18" s="110" t="s">
        <v>71</v>
      </c>
      <c r="C18" s="75">
        <f>C17/$H$3</f>
        <v>3.7785016286644946</v>
      </c>
      <c r="D18" s="75">
        <f t="shared" ref="D18:G18" si="3">D17/$H$3</f>
        <v>2.7035830618892507</v>
      </c>
      <c r="E18" s="75">
        <f t="shared" si="3"/>
        <v>3.0618892508143318</v>
      </c>
      <c r="F18" s="75">
        <f t="shared" si="3"/>
        <v>1.1400651465798044</v>
      </c>
      <c r="G18" s="75">
        <f t="shared" si="3"/>
        <v>1.0749185667752441</v>
      </c>
      <c r="H18" s="139"/>
      <c r="I18" s="136"/>
      <c r="J18"/>
      <c r="K18" s="1"/>
      <c r="M18"/>
    </row>
    <row r="19" spans="2:13" ht="17.25" x14ac:dyDescent="0.3">
      <c r="B19" s="4" t="s">
        <v>1</v>
      </c>
      <c r="C19" s="76">
        <v>4</v>
      </c>
      <c r="D19" s="77">
        <v>3</v>
      </c>
      <c r="E19" s="77">
        <v>3</v>
      </c>
      <c r="F19" s="77">
        <v>1</v>
      </c>
      <c r="G19" s="77">
        <v>1</v>
      </c>
      <c r="H19" s="139"/>
      <c r="I19" s="136"/>
      <c r="J19"/>
      <c r="K19" s="1"/>
      <c r="M19"/>
    </row>
    <row r="20" spans="2:13" ht="18" thickBot="1" x14ac:dyDescent="0.35">
      <c r="B20" s="3" t="s">
        <v>0</v>
      </c>
      <c r="C20" s="86">
        <f>C17/C19</f>
        <v>29</v>
      </c>
      <c r="D20" s="86">
        <f t="shared" ref="D20:G20" si="4">D17/D19</f>
        <v>27.666666666666668</v>
      </c>
      <c r="E20" s="86">
        <f t="shared" si="4"/>
        <v>31.333333333333332</v>
      </c>
      <c r="F20" s="86">
        <f t="shared" si="4"/>
        <v>35</v>
      </c>
      <c r="G20" s="86">
        <f t="shared" si="4"/>
        <v>33</v>
      </c>
      <c r="H20" s="140"/>
      <c r="I20" s="137"/>
      <c r="J20"/>
      <c r="K20" s="1"/>
      <c r="M20"/>
    </row>
    <row r="21" spans="2:13" ht="18" thickTop="1" thickBot="1" x14ac:dyDescent="0.35">
      <c r="J21"/>
      <c r="L21"/>
      <c r="M21"/>
    </row>
    <row r="22" spans="2:13" ht="18.75" thickTop="1" thickBot="1" x14ac:dyDescent="0.35">
      <c r="B22" s="45" t="s">
        <v>7</v>
      </c>
      <c r="C22" s="53" t="s">
        <v>5</v>
      </c>
      <c r="D22" s="46" t="s">
        <v>6</v>
      </c>
      <c r="E22" s="48" t="s">
        <v>3</v>
      </c>
      <c r="G22" s="27"/>
      <c r="H22" s="27"/>
      <c r="I22" s="27"/>
    </row>
    <row r="23" spans="2:13" ht="18" thickTop="1" x14ac:dyDescent="0.3">
      <c r="B23" s="43" t="s">
        <v>2</v>
      </c>
      <c r="C23" s="121">
        <v>112</v>
      </c>
      <c r="D23" s="122">
        <v>195</v>
      </c>
      <c r="E23" s="136">
        <f>SUM(C25:E25)</f>
        <v>11</v>
      </c>
      <c r="G23" s="27"/>
      <c r="H23" s="27"/>
      <c r="I23" s="27"/>
    </row>
    <row r="24" spans="2:13" ht="17.25" x14ac:dyDescent="0.3">
      <c r="B24" s="110" t="s">
        <v>71</v>
      </c>
      <c r="C24" s="38">
        <f>C23/30.9</f>
        <v>3.6245954692556634</v>
      </c>
      <c r="D24" s="36">
        <f>D23/30.9</f>
        <v>6.3106796116504853</v>
      </c>
      <c r="E24" s="136"/>
      <c r="G24" s="27"/>
      <c r="H24" s="27"/>
      <c r="I24" s="27"/>
    </row>
    <row r="25" spans="2:13" ht="17.25" x14ac:dyDescent="0.3">
      <c r="B25" s="4" t="s">
        <v>1</v>
      </c>
      <c r="C25" s="37">
        <v>4</v>
      </c>
      <c r="D25" s="35">
        <v>7</v>
      </c>
      <c r="E25" s="136"/>
      <c r="G25" s="27"/>
      <c r="H25" s="27"/>
      <c r="I25" s="27"/>
    </row>
    <row r="26" spans="2:13" ht="18" thickBot="1" x14ac:dyDescent="0.35">
      <c r="B26" s="3" t="s">
        <v>0</v>
      </c>
      <c r="C26" s="39">
        <f>C23/C25</f>
        <v>28</v>
      </c>
      <c r="D26" s="40">
        <f>D23/D25</f>
        <v>27.857142857142858</v>
      </c>
      <c r="E26" s="137"/>
      <c r="G26" s="27"/>
      <c r="H26" s="27"/>
      <c r="I26" s="27"/>
    </row>
    <row r="27" spans="2:13" ht="17.25" thickTop="1" x14ac:dyDescent="0.3">
      <c r="B27" s="1"/>
      <c r="C27" s="9"/>
      <c r="D27" s="9"/>
      <c r="E27" s="9"/>
      <c r="F27" s="8"/>
      <c r="G27" s="7"/>
      <c r="H27" s="7"/>
      <c r="I27" s="7"/>
    </row>
    <row r="28" spans="2:13" ht="25.15" customHeight="1" x14ac:dyDescent="0.3">
      <c r="J28"/>
      <c r="L28"/>
      <c r="M28"/>
    </row>
    <row r="29" spans="2:13" ht="25.15" customHeight="1" thickBot="1" x14ac:dyDescent="0.35">
      <c r="J29"/>
      <c r="L29"/>
      <c r="M29"/>
    </row>
    <row r="30" spans="2:13" ht="28.9" customHeight="1" thickBot="1" x14ac:dyDescent="0.35">
      <c r="B30" s="134" t="s">
        <v>9</v>
      </c>
      <c r="C30" s="135"/>
      <c r="D30" s="89"/>
      <c r="E30" s="8"/>
      <c r="F30" s="8"/>
      <c r="G30" s="8"/>
      <c r="H30" s="7"/>
    </row>
    <row r="31" spans="2:13" ht="18.75" thickTop="1" thickBot="1" x14ac:dyDescent="0.35">
      <c r="B31" s="45" t="s">
        <v>7</v>
      </c>
      <c r="C31" s="74" t="s">
        <v>58</v>
      </c>
      <c r="D31" s="73" t="s">
        <v>59</v>
      </c>
      <c r="E31" s="73" t="s">
        <v>60</v>
      </c>
      <c r="F31" s="87" t="s">
        <v>61</v>
      </c>
      <c r="G31" s="73" t="s">
        <v>62</v>
      </c>
      <c r="H31" s="90" t="s">
        <v>11</v>
      </c>
      <c r="I31" s="91" t="s">
        <v>68</v>
      </c>
    </row>
    <row r="32" spans="2:13" ht="18" thickTop="1" x14ac:dyDescent="0.3">
      <c r="B32" s="43" t="s">
        <v>2</v>
      </c>
      <c r="C32" s="51">
        <v>275</v>
      </c>
      <c r="D32" s="44">
        <v>29</v>
      </c>
      <c r="E32" s="44">
        <v>193</v>
      </c>
      <c r="F32" s="107">
        <v>0</v>
      </c>
      <c r="G32" s="55">
        <v>242</v>
      </c>
      <c r="H32" s="123">
        <v>2</v>
      </c>
      <c r="I32" s="145">
        <f>SUM(C34:H34,C39:G39,C44:F44)</f>
        <v>55</v>
      </c>
      <c r="K32" s="118">
        <f>(SUM(C32:H32)+SUM(C37:H37)+SUM(C42:H42))/5</f>
        <v>307</v>
      </c>
    </row>
    <row r="33" spans="2:13" ht="17.25" x14ac:dyDescent="0.3">
      <c r="B33" s="110" t="s">
        <v>71</v>
      </c>
      <c r="C33" s="38">
        <f>C32/$H$3</f>
        <v>8.9576547231270354</v>
      </c>
      <c r="D33" s="38">
        <f t="shared" ref="D33:G33" si="5">D32/$H$3</f>
        <v>0.94462540716612364</v>
      </c>
      <c r="E33" s="38">
        <f t="shared" si="5"/>
        <v>6.2866449511400644</v>
      </c>
      <c r="F33" s="148" t="s">
        <v>75</v>
      </c>
      <c r="G33" s="38">
        <f t="shared" si="5"/>
        <v>7.8827361563517906</v>
      </c>
      <c r="H33" s="151" t="s">
        <v>75</v>
      </c>
      <c r="I33" s="146"/>
    </row>
    <row r="34" spans="2:13" ht="17.25" x14ac:dyDescent="0.3">
      <c r="B34" s="4" t="s">
        <v>1</v>
      </c>
      <c r="C34" s="37">
        <v>10</v>
      </c>
      <c r="D34" s="35">
        <v>1</v>
      </c>
      <c r="E34" s="35">
        <v>7</v>
      </c>
      <c r="F34" s="149"/>
      <c r="G34" s="16">
        <v>8</v>
      </c>
      <c r="H34" s="152"/>
      <c r="I34" s="146"/>
    </row>
    <row r="35" spans="2:13" ht="18" thickBot="1" x14ac:dyDescent="0.35">
      <c r="B35" s="5" t="s">
        <v>0</v>
      </c>
      <c r="C35" s="38">
        <f>C32/C34</f>
        <v>27.5</v>
      </c>
      <c r="D35" s="36">
        <f>D32/D34</f>
        <v>29</v>
      </c>
      <c r="E35" s="36">
        <f>E32/E34</f>
        <v>27.571428571428573</v>
      </c>
      <c r="F35" s="150"/>
      <c r="G35" s="36">
        <f t="shared" ref="G35" si="6">G32/G34</f>
        <v>30.25</v>
      </c>
      <c r="H35" s="153"/>
      <c r="I35" s="146"/>
    </row>
    <row r="36" spans="2:13" ht="18" thickBot="1" x14ac:dyDescent="0.35">
      <c r="B36" s="49" t="s">
        <v>7</v>
      </c>
      <c r="C36" s="79" t="s">
        <v>8</v>
      </c>
      <c r="D36" s="80" t="s">
        <v>63</v>
      </c>
      <c r="E36" s="80" t="s">
        <v>64</v>
      </c>
      <c r="F36" s="80" t="s">
        <v>65</v>
      </c>
      <c r="G36" s="80" t="s">
        <v>66</v>
      </c>
      <c r="H36" s="103"/>
      <c r="I36" s="146"/>
    </row>
    <row r="37" spans="2:13" ht="18" thickTop="1" x14ac:dyDescent="0.3">
      <c r="B37" s="43" t="s">
        <v>2</v>
      </c>
      <c r="C37" s="51">
        <v>73</v>
      </c>
      <c r="D37" s="44">
        <v>85</v>
      </c>
      <c r="E37" s="44">
        <v>143</v>
      </c>
      <c r="F37" s="44">
        <v>63</v>
      </c>
      <c r="G37" s="44">
        <v>45</v>
      </c>
      <c r="H37" s="104"/>
      <c r="I37" s="146"/>
    </row>
    <row r="38" spans="2:13" ht="17.25" x14ac:dyDescent="0.3">
      <c r="B38" s="110" t="s">
        <v>71</v>
      </c>
      <c r="C38" s="38">
        <f>C37/30.9</f>
        <v>2.3624595469255665</v>
      </c>
      <c r="D38" s="38">
        <f t="shared" ref="D38:G38" si="7">D37/30.9</f>
        <v>2.7508090614886731</v>
      </c>
      <c r="E38" s="38">
        <f t="shared" si="7"/>
        <v>4.6278317152103563</v>
      </c>
      <c r="F38" s="38">
        <f t="shared" si="7"/>
        <v>2.0388349514563107</v>
      </c>
      <c r="G38" s="88">
        <f t="shared" si="7"/>
        <v>1.4563106796116505</v>
      </c>
      <c r="H38" s="104"/>
      <c r="I38" s="146"/>
    </row>
    <row r="39" spans="2:13" ht="17.25" x14ac:dyDescent="0.3">
      <c r="B39" s="4" t="s">
        <v>1</v>
      </c>
      <c r="C39" s="37">
        <v>3</v>
      </c>
      <c r="D39" s="35">
        <v>3</v>
      </c>
      <c r="E39" s="35">
        <v>5</v>
      </c>
      <c r="F39" s="35">
        <v>2</v>
      </c>
      <c r="G39" s="35">
        <v>2</v>
      </c>
      <c r="H39" s="104"/>
      <c r="I39" s="146"/>
    </row>
    <row r="40" spans="2:13" ht="18" thickBot="1" x14ac:dyDescent="0.35">
      <c r="B40" s="6" t="s">
        <v>0</v>
      </c>
      <c r="C40" s="72">
        <f>C37/C39</f>
        <v>24.333333333333332</v>
      </c>
      <c r="D40" s="71">
        <f>D37/D39</f>
        <v>28.333333333333332</v>
      </c>
      <c r="E40" s="71">
        <f>E37/E39</f>
        <v>28.6</v>
      </c>
      <c r="F40" s="71">
        <f>F37/F39</f>
        <v>31.5</v>
      </c>
      <c r="G40" s="71">
        <f>G37/G39</f>
        <v>22.5</v>
      </c>
      <c r="H40" s="105"/>
      <c r="I40" s="146"/>
    </row>
    <row r="41" spans="2:13" ht="18" thickBot="1" x14ac:dyDescent="0.35">
      <c r="B41" s="92" t="s">
        <v>7</v>
      </c>
      <c r="C41" s="93" t="s">
        <v>67</v>
      </c>
      <c r="D41" s="94" t="s">
        <v>55</v>
      </c>
      <c r="E41" s="94" t="s">
        <v>56</v>
      </c>
      <c r="F41" s="94" t="s">
        <v>57</v>
      </c>
      <c r="G41" s="95"/>
      <c r="H41" s="96"/>
      <c r="I41" s="146"/>
    </row>
    <row r="42" spans="2:13" ht="18" thickTop="1" x14ac:dyDescent="0.3">
      <c r="B42" s="43" t="s">
        <v>2</v>
      </c>
      <c r="C42" s="124">
        <v>1</v>
      </c>
      <c r="D42" s="44">
        <v>197</v>
      </c>
      <c r="E42" s="113">
        <v>1</v>
      </c>
      <c r="F42" s="44">
        <v>186</v>
      </c>
      <c r="G42" s="97"/>
      <c r="H42" s="98"/>
      <c r="I42" s="146"/>
    </row>
    <row r="43" spans="2:13" ht="17.25" x14ac:dyDescent="0.3">
      <c r="B43" s="110" t="s">
        <v>71</v>
      </c>
      <c r="C43" s="154" t="s">
        <v>75</v>
      </c>
      <c r="D43" s="38">
        <f t="shared" ref="D43:F43" si="8">D42/30.9</f>
        <v>6.375404530744337</v>
      </c>
      <c r="E43" s="148" t="s">
        <v>75</v>
      </c>
      <c r="F43" s="38">
        <f t="shared" si="8"/>
        <v>6.0194174757281553</v>
      </c>
      <c r="G43" s="99"/>
      <c r="H43" s="100"/>
      <c r="I43" s="146"/>
    </row>
    <row r="44" spans="2:13" ht="17.25" x14ac:dyDescent="0.3">
      <c r="B44" s="4" t="s">
        <v>1</v>
      </c>
      <c r="C44" s="155"/>
      <c r="D44" s="35">
        <v>7</v>
      </c>
      <c r="E44" s="149"/>
      <c r="F44" s="35">
        <v>7</v>
      </c>
      <c r="G44" s="97"/>
      <c r="H44" s="98"/>
      <c r="I44" s="146"/>
    </row>
    <row r="45" spans="2:13" ht="18" thickBot="1" x14ac:dyDescent="0.35">
      <c r="B45" s="3" t="s">
        <v>0</v>
      </c>
      <c r="C45" s="156"/>
      <c r="D45" s="40">
        <f t="shared" ref="D45:F45" si="9">D42/D44</f>
        <v>28.142857142857142</v>
      </c>
      <c r="E45" s="157"/>
      <c r="F45" s="40">
        <f t="shared" si="9"/>
        <v>26.571428571428573</v>
      </c>
      <c r="G45" s="101"/>
      <c r="H45" s="102"/>
      <c r="I45" s="147"/>
    </row>
    <row r="46" spans="2:13" ht="18" thickTop="1" thickBot="1" x14ac:dyDescent="0.35">
      <c r="J46"/>
      <c r="L46"/>
      <c r="M46"/>
    </row>
    <row r="47" spans="2:13" ht="18.75" thickTop="1" thickBot="1" x14ac:dyDescent="0.35">
      <c r="B47" s="45" t="s">
        <v>7</v>
      </c>
      <c r="C47" s="74" t="s">
        <v>69</v>
      </c>
      <c r="D47" s="73" t="s">
        <v>70</v>
      </c>
      <c r="E47" s="48" t="s">
        <v>3</v>
      </c>
      <c r="F47" s="27"/>
      <c r="G47" s="27"/>
      <c r="H47" s="27"/>
      <c r="I47" s="27"/>
    </row>
    <row r="48" spans="2:13" ht="18" thickTop="1" x14ac:dyDescent="0.3">
      <c r="B48" s="43" t="s">
        <v>2</v>
      </c>
      <c r="C48" s="51">
        <v>128</v>
      </c>
      <c r="D48" s="44">
        <v>177</v>
      </c>
      <c r="E48" s="136">
        <f>SUM(C50:E50)</f>
        <v>11</v>
      </c>
      <c r="F48" s="27"/>
      <c r="G48" s="27"/>
      <c r="H48" s="27"/>
      <c r="I48" s="27"/>
    </row>
    <row r="49" spans="2:10" ht="17.25" x14ac:dyDescent="0.3">
      <c r="B49" s="110" t="s">
        <v>71</v>
      </c>
      <c r="C49" s="41">
        <f>C48/30.9</f>
        <v>4.142394822006473</v>
      </c>
      <c r="D49" s="42">
        <f>D48/30.9</f>
        <v>5.7281553398058254</v>
      </c>
      <c r="E49" s="136"/>
      <c r="F49" s="27"/>
      <c r="G49" s="27"/>
      <c r="H49" s="27"/>
      <c r="I49" s="27"/>
    </row>
    <row r="50" spans="2:10" ht="17.25" x14ac:dyDescent="0.3">
      <c r="B50" s="4" t="s">
        <v>1</v>
      </c>
      <c r="C50" s="15">
        <v>5</v>
      </c>
      <c r="D50" s="16">
        <v>6</v>
      </c>
      <c r="E50" s="136"/>
      <c r="F50" s="27"/>
      <c r="G50" s="27"/>
      <c r="H50" s="27"/>
      <c r="I50" s="27"/>
    </row>
    <row r="51" spans="2:10" ht="18" thickBot="1" x14ac:dyDescent="0.35">
      <c r="B51" s="3" t="s">
        <v>0</v>
      </c>
      <c r="C51" s="28">
        <f>C48/C50</f>
        <v>25.6</v>
      </c>
      <c r="D51" s="29">
        <f>D48/D50</f>
        <v>29.5</v>
      </c>
      <c r="E51" s="137"/>
      <c r="F51" s="27"/>
      <c r="G51" s="27"/>
      <c r="H51" s="27"/>
      <c r="I51" s="27"/>
    </row>
    <row r="52" spans="2:10" ht="17.25" thickTop="1" x14ac:dyDescent="0.3">
      <c r="B52" s="1"/>
    </row>
    <row r="55" spans="2:10" x14ac:dyDescent="0.3">
      <c r="J55" s="2"/>
    </row>
    <row r="56" spans="2:10" x14ac:dyDescent="0.3">
      <c r="J56" s="2"/>
    </row>
  </sheetData>
  <mergeCells count="15">
    <mergeCell ref="E48:E51"/>
    <mergeCell ref="E23:E26"/>
    <mergeCell ref="B30:C30"/>
    <mergeCell ref="I32:I45"/>
    <mergeCell ref="F33:F35"/>
    <mergeCell ref="H33:H35"/>
    <mergeCell ref="C43:C45"/>
    <mergeCell ref="E43:E45"/>
    <mergeCell ref="I7:I20"/>
    <mergeCell ref="H17:H20"/>
    <mergeCell ref="B1:F1"/>
    <mergeCell ref="F2:G2"/>
    <mergeCell ref="I2:J3"/>
    <mergeCell ref="F3:G3"/>
    <mergeCell ref="B5:C5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80" fitToHeight="0" orientation="landscape" verticalDpi="0" r:id="rId1"/>
  <rowBreaks count="1" manualBreakCount="1">
    <brk id="29" min="1" max="1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2학년</vt:lpstr>
      <vt:lpstr>3학년</vt:lpstr>
      <vt:lpstr>'2학년'!Print_Area</vt:lpstr>
      <vt:lpstr>'3학년'!Print_Area</vt:lpstr>
      <vt:lpstr>'3학년'!Print_Titles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안광수</cp:lastModifiedBy>
  <cp:lastPrinted>2025-06-30T06:33:19Z</cp:lastPrinted>
  <dcterms:created xsi:type="dcterms:W3CDTF">2025-06-30T04:45:42Z</dcterms:created>
  <dcterms:modified xsi:type="dcterms:W3CDTF">2026-10-02T00:46:44Z</dcterms:modified>
</cp:coreProperties>
</file>